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4CC516-41D5-4206-B3D5-A6F0D796A4A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  <sheet name="Sheet1" sheetId="6" r:id="rId6"/>
  </sheets>
  <definedNames>
    <definedName name="_xlnm._FilterDatabase" localSheetId="5" hidden="1">Sheet1!$A$1:$D$13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6" l="1"/>
  <c r="D15" i="6"/>
  <c r="I2" i="6" a="1"/>
  <c r="I2" i="6" s="1"/>
  <c r="J2" i="6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K2" i="1" a="1"/>
  <c r="K2" i="1" s="1"/>
  <c r="J2" i="1" a="1"/>
  <c r="J2" i="1" s="1"/>
  <c r="I2" i="1" a="1"/>
  <c r="I2" i="1" s="1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J3" i="6" l="1"/>
  <c r="J4" i="6"/>
  <c r="J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<sst xmlns="http://schemas.openxmlformats.org/spreadsheetml/2006/main" count="327" uniqueCount="178">
  <si>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</si>
  <si>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</si>
  <si>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</si>
  <si>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</si>
  <si>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</si>
  <si>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</si>
  <si>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</si>
  <si>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</si>
  <si>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</si>
  <si>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</si>
  <si>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</si>
  <si>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</si>
  <si>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</si>
  <si>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</si>
  <si>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</si>
  <si>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</si>
  <si>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</si>
  <si>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</si>
  <si>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</si>
  <si>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</si>
  <si>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</si>
  <si>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</si>
  <si>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</si>
  <si>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</si>
  <si>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</si>
  <si>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</si>
  <si>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</si>
  <si>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</si>
  <si>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</si>
  <si>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</si>
  <si>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</si>
  <si>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</si>
  <si>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</si>
  <si>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</si>
  <si>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</si>
  <si>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</si>
  <si>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</si>
  <si>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</si>
  <si>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</si>
  <si>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</si>
  <si>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</si>
  <si>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</si>
  <si>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</si>
  <si>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</si>
  <si>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</si>
  <si>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</si>
  <si>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</si>
  <si>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</si>
  <si>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</si>
  <si>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</si>
  <si>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</si>
  <si>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</si>
  <si>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</si>
  <si>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</si>
  <si>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</si>
  <si>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</si>
  <si>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</si>
  <si>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</si>
  <si>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</si>
  <si>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</si>
  <si>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</si>
  <si>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</si>
  <si>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</si>
  <si>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</si>
  <si>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</si>
  <si>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</si>
  <si>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</si>
  <si>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</si>
  <si>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</si>
  <si>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</si>
  <si>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</si>
  <si>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</si>
  <si>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</si>
  <si>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</si>
  <si>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</si>
  <si>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</si>
  <si>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</si>
  <si>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</si>
  <si>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</si>
  <si>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</si>
  <si>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</si>
  <si>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</si>
  <si>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</si>
  <si>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</si>
  <si>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</si>
  <si>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</si>
  <si>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</si>
  <si>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</si>
  <si>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</si>
  <si>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</si>
  <si>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</si>
  <si>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</si>
  <si>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</si>
  <si>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</si>
  <si>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</si>
  <si>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</si>
  <si>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</si>
  <si>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</si>
  <si>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</si>
  <si>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</si>
  <si>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</si>
  <si>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</si>
  <si>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</si>
  <si>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</si>
  <si>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</si>
  <si>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</si>
  <si>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</si>
  <si>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</si>
  <si>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</si>
  <si>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</si>
  <si>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</si>
  <si>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</si>
  <si>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</si>
  <si>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</si>
  <si>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</si>
  <si>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</si>
  <si>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</si>
  <si>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</si>
  <si>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</si>
  <si>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</si>
  <si>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</si>
  <si>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</si>
  <si>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</si>
  <si>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</si>
  <si>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</si>
  <si>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</si>
  <si>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</si>
  <si>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</si>
  <si>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</si>
  <si>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</si>
  <si>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</si>
  <si>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</si>
  <si>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</si>
  <si>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</si>
  <si>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</si>
  <si>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</si>
  <si>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</si>
  <si>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</si>
  <si>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</si>
  <si>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</si>
  <si>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</si>
  <si>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</si>
  <si>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</si>
  <si>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</si>
  <si>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</si>
  <si>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</si>
  <si>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</si>
  <si>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</si>
  <si>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</si>
  <si>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</si>
  <si>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</si>
  <si>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</si>
  <si>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</si>
  <si>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</si>
  <si>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</si>
  <si>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</si>
  <si>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</si>
  <si>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Date</t>
  </si>
  <si>
    <t>Category</t>
  </si>
  <si>
    <t>Item</t>
  </si>
  <si>
    <t>Amount</t>
  </si>
  <si>
    <t>Food</t>
  </si>
  <si>
    <t>Rent</t>
  </si>
  <si>
    <t>Transport</t>
  </si>
  <si>
    <t>Utilities</t>
  </si>
  <si>
    <t>Charity</t>
  </si>
  <si>
    <t>Groceries</t>
  </si>
  <si>
    <t>House rent</t>
  </si>
  <si>
    <t>Fuel</t>
  </si>
  <si>
    <t>Gas Bill</t>
  </si>
  <si>
    <t>Electricity</t>
  </si>
  <si>
    <t>Eggs</t>
  </si>
  <si>
    <t>Rice</t>
  </si>
  <si>
    <t>Vegetable</t>
  </si>
  <si>
    <t>Maintenance</t>
  </si>
  <si>
    <t>Families</t>
  </si>
  <si>
    <t>Total</t>
  </si>
  <si>
    <t>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</si>
</sst>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_-[$£-809]* #,##0_-;\-[$£-809]* #,##0_-;_-[$£-809]* &quot;-&quot;??_-;_-@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0" fillId="0" borderId="0" xfId="0" applyAlignment="1"/>
    <xf numFmtId="170" fontId="0" fillId="0" borderId="0" xfId="0" applyNumberFormat="1"/>
    <xf numFmtId="170" fontId="0" fillId="0" borderId="0" xfId="0" applyNumberFormat="1" applyAlignment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AE843E39-C0BB-439B-8FFD-C1F7AAB2B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K40" totalsRowShown="0" headerRowDxfId="14">
  <autoFilter ref="A1:K40" xr:uid="{6A7FE39D-5614-4A7F-89B7-C167ABC0A251}"/>
  <tableColumns count="11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4" xr3:uid="{DD2A0151-E545-4BFF-93A3-124AFC8C3768}" name="budget" dataDxfId="13">
      <calculatedColumnFormula array="1">_xlfn.XLOOKUP(Movies[[#This Row],[movie_id]:[movie_id]],Financials[[#All],[movie_id]:[movie_id]],Financials[[#All],[budget]],"Not Available",0)</calculatedColumnFormula>
    </tableColumn>
    <tableColumn id="19" xr3:uid="{DB0D2613-55BC-4836-9E67-0E5D587EA27B}" name="revenue">
      <calculatedColumnFormula array="1">_xlfn.XLOOKUP(Movies[[#This Row],[movie_id]:[movie_id]],Financials[[#All],[movie_id]:[movie_id]],Financials[[#All],[revenue]],"Not Available",0)</calculatedColumnFormula>
    </tableColumn>
    <tableColumn id="15" xr3:uid="{4FC460F8-5501-4B3D-B612-AA6EA53F088D}" name="unit" dataDxfId="12">
      <calculatedColumnFormula array="1">_xlfn.XLOOKUP(Movies[[#This Row],[movie_id]:[movie_id]],Financials[[#All],[movie_id]:[movie_id]],Financials[[#All],[unit]],"Not Available",0)</calculatedColumnFormula>
    </tableColumn>
    <tableColumn id="16" xr3:uid="{71AF9D00-263F-48BA-A598-7B2DDE3DCFC0}" name="currency" dataDxfId="11">
      <calculatedColumnFormula array="1">_xlfn.XLOOKUP(Movies[[#This Row],[movie_id]:[movie_id]],Financials[[#All],[movie_id]:[movie_id]],Financials[[#All],[currency]],"Not Available",0)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10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9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8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7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zoomScale="175" zoomScaleNormal="175" workbookViewId="0">
      <selection activeCell="G2" sqref="G2"/>
    </sheetView>
  </sheetViews>
  <sheetFormatPr defaultRowHeight="14.4" x14ac:dyDescent="0.3"/>
  <cols>
    <col min="1" max="1" width="11.88671875" customWidth="1"/>
    <col min="2" max="2" width="29.6640625" customWidth="1"/>
    <col min="3" max="3" width="10.5546875" bestFit="1" customWidth="1"/>
    <col min="4" max="4" width="5.109375" customWidth="1"/>
    <col min="5" max="5" width="6.109375" customWidth="1"/>
    <col min="6" max="6" width="22" customWidth="1"/>
    <col min="7" max="7" width="6.33203125" customWidth="1"/>
    <col min="8" max="9" width="16.6640625" customWidth="1"/>
    <col min="10" max="10" width="13.109375" customWidth="1"/>
  </cols>
  <sheetData>
    <row r="1" spans="1:11" x14ac:dyDescent="0.3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3">
      <c r="A2">
        <v>101</v>
      </c>
      <c r="B2" t="s">
        <v>117</v>
      </c>
      <c r="C2" t="s">
        <v>6</v>
      </c>
      <c r="D2">
        <v>2022</v>
      </c>
      <c r="E2">
        <v>8.4</v>
      </c>
      <c r="F2" t="s">
        <v>115</v>
      </c>
      <c r="G2">
        <v>3</v>
      </c>
      <c r="H2" cm="1">
        <f t="array" ref="H2">_xlfn.XLOOKUP(Movies[[#This Row],[movie_id]:[movie_id]],Financials[[#All],[movie_id]:[movie_id]],Financials[[#All],[budget]],"Not Available",0)</f>
        <v>1</v>
      </c>
      <c r="I2" cm="1">
        <f t="array" ref="I2">_xlfn.XLOOKUP(Movies[[#This Row],[movie_id]:[movie_id]],Financials[[#All],[movie_id]:[movie_id]],Financials[[#All],[revenue]],"Not Available",0)</f>
        <v>12.5</v>
      </c>
      <c r="J2" t="str" cm="1">
        <f t="array" ref="J2">_xlfn.XLOOKUP(Movies[[#This Row],[movie_id]:[movie_id]],Financials[[#All],[movie_id]:[movie_id]],Financials[[#All],[unit]],"Not Available",0)</f>
        <v>Billions</v>
      </c>
      <c r="K2" t="str" cm="1">
        <f t="array" ref="K2">_xlfn.XLOOKUP(Movies[[#This Row],[movie_id]:[movie_id]],Financials[[#All],[movie_id]:[movie_id]],Financials[[#All],[currency]],"Not Available",0)</f>
        <v>INR</v>
      </c>
    </row>
    <row r="3" spans="1:11" x14ac:dyDescent="0.3">
      <c r="A3">
        <v>102</v>
      </c>
      <c r="B3" t="s">
        <v>118</v>
      </c>
      <c r="C3" t="s">
        <v>7</v>
      </c>
      <c r="D3">
        <v>2022</v>
      </c>
      <c r="E3">
        <v>7</v>
      </c>
      <c r="F3" t="s">
        <v>8</v>
      </c>
      <c r="G3">
        <v>5</v>
      </c>
      <c r="H3" cm="1">
        <f t="array" ref="H3">_xlfn.XLOOKUP(Movies[[#This Row],[movie_id]:[movie_id]],Financials[[#All],[movie_id]:[movie_id]],Financials[[#All],[budget]],"Not Available",0)</f>
        <v>200</v>
      </c>
      <c r="I3" cm="1">
        <f t="array" ref="I3">_xlfn.XLOOKUP(Movies[[#This Row],[movie_id]:[movie_id]],Financials[[#All],[movie_id]:[movie_id]],Financials[[#All],[revenue]],"Not Available",0)</f>
        <v>954.8</v>
      </c>
      <c r="J3" t="str" cm="1">
        <f t="array" ref="J3">_xlfn.XLOOKUP(Movies[[#This Row],[movie_id]:[movie_id]],Financials[[#All],[movie_id]:[movie_id]],Financials[[#All],[unit]],"Not Available",0)</f>
        <v>Millions</v>
      </c>
      <c r="K3" t="str" cm="1">
        <f t="array" ref="K3">_xlfn.XLOOKUP(Movies[[#This Row],[movie_id]:[movie_id]],Financials[[#All],[movie_id]:[movie_id]],Financials[[#All],[currency]],"Not Available",0)</f>
        <v>USD</v>
      </c>
    </row>
    <row r="4" spans="1:11" x14ac:dyDescent="0.3">
      <c r="A4">
        <v>103</v>
      </c>
      <c r="B4" t="s">
        <v>119</v>
      </c>
      <c r="C4" t="s">
        <v>7</v>
      </c>
      <c r="D4">
        <v>2013</v>
      </c>
      <c r="E4">
        <v>6.8</v>
      </c>
      <c r="F4" t="s">
        <v>8</v>
      </c>
      <c r="G4">
        <v>5</v>
      </c>
      <c r="H4" cm="1">
        <f t="array" ref="H4">_xlfn.XLOOKUP(Movies[[#This Row],[movie_id]:[movie_id]],Financials[[#All],[movie_id]:[movie_id]],Financials[[#All],[budget]],"Not Available",0)</f>
        <v>165</v>
      </c>
      <c r="I4" cm="1">
        <f t="array" ref="I4">_xlfn.XLOOKUP(Movies[[#This Row],[movie_id]:[movie_id]],Financials[[#All],[movie_id]:[movie_id]],Financials[[#All],[revenue]],"Not Available",0)</f>
        <v>644.79999999999995</v>
      </c>
      <c r="J4" t="str" cm="1">
        <f t="array" ref="J4">_xlfn.XLOOKUP(Movies[[#This Row],[movie_id]:[movie_id]],Financials[[#All],[movie_id]:[movie_id]],Financials[[#All],[unit]],"Not Available",0)</f>
        <v>Millions</v>
      </c>
      <c r="K4" t="str" cm="1">
        <f t="array" ref="K4">_xlfn.XLOOKUP(Movies[[#This Row],[movie_id]:[movie_id]],Financials[[#All],[movie_id]:[movie_id]],Financials[[#All],[currency]],"Not Available",0)</f>
        <v>USD</v>
      </c>
    </row>
    <row r="5" spans="1:11" x14ac:dyDescent="0.3">
      <c r="A5">
        <v>104</v>
      </c>
      <c r="B5" t="s">
        <v>120</v>
      </c>
      <c r="C5" t="s">
        <v>7</v>
      </c>
      <c r="D5">
        <v>2017</v>
      </c>
      <c r="E5">
        <v>7.9</v>
      </c>
      <c r="F5" t="s">
        <v>8</v>
      </c>
      <c r="G5">
        <v>5</v>
      </c>
      <c r="H5" cm="1">
        <f t="array" ref="H5">_xlfn.XLOOKUP(Movies[[#This Row],[movie_id]:[movie_id]],Financials[[#All],[movie_id]:[movie_id]],Financials[[#All],[budget]],"Not Available",0)</f>
        <v>180</v>
      </c>
      <c r="I5" cm="1">
        <f t="array" ref="I5">_xlfn.XLOOKUP(Movies[[#This Row],[movie_id]:[movie_id]],Financials[[#All],[movie_id]:[movie_id]],Financials[[#All],[revenue]],"Not Available",0)</f>
        <v>854</v>
      </c>
      <c r="J5" t="str" cm="1">
        <f t="array" ref="J5">_xlfn.XLOOKUP(Movies[[#This Row],[movie_id]:[movie_id]],Financials[[#All],[movie_id]:[movie_id]],Financials[[#All],[unit]],"Not Available",0)</f>
        <v>Millions</v>
      </c>
      <c r="K5" t="str" cm="1">
        <f t="array" ref="K5">_xlfn.XLOOKUP(Movies[[#This Row],[movie_id]:[movie_id]],Financials[[#All],[movie_id]:[movie_id]],Financials[[#All],[currency]],"Not Available",0)</f>
        <v>USD</v>
      </c>
    </row>
    <row r="6" spans="1:11" x14ac:dyDescent="0.3">
      <c r="A6">
        <v>105</v>
      </c>
      <c r="B6" t="s">
        <v>121</v>
      </c>
      <c r="C6" t="s">
        <v>7</v>
      </c>
      <c r="D6">
        <v>2022</v>
      </c>
      <c r="E6">
        <v>6.8</v>
      </c>
      <c r="F6" t="s">
        <v>8</v>
      </c>
      <c r="G6">
        <v>5</v>
      </c>
      <c r="H6" cm="1">
        <f t="array" ref="H6">_xlfn.XLOOKUP(Movies[[#This Row],[movie_id]:[movie_id]],Financials[[#All],[movie_id]:[movie_id]],Financials[[#All],[budget]],"Not Available",0)</f>
        <v>250</v>
      </c>
      <c r="I6" cm="1">
        <f t="array" ref="I6">_xlfn.XLOOKUP(Movies[[#This Row],[movie_id]:[movie_id]],Financials[[#All],[movie_id]:[movie_id]],Financials[[#All],[revenue]],"Not Available",0)</f>
        <v>670</v>
      </c>
      <c r="J6" t="str" cm="1">
        <f t="array" ref="J6">_xlfn.XLOOKUP(Movies[[#This Row],[movie_id]:[movie_id]],Financials[[#All],[movie_id]:[movie_id]],Financials[[#All],[unit]],"Not Available",0)</f>
        <v>Millions</v>
      </c>
      <c r="K6" t="str" cm="1">
        <f t="array" ref="K6">_xlfn.XLOOKUP(Movies[[#This Row],[movie_id]:[movie_id]],Financials[[#All],[movie_id]:[movie_id]],Financials[[#All],[currency]],"Not Available",0)</f>
        <v>USD</v>
      </c>
    </row>
    <row r="7" spans="1:11" x14ac:dyDescent="0.3">
      <c r="A7">
        <v>106</v>
      </c>
      <c r="B7" t="s">
        <v>122</v>
      </c>
      <c r="C7" t="s">
        <v>6</v>
      </c>
      <c r="D7">
        <v>1975</v>
      </c>
      <c r="E7">
        <v>8.1</v>
      </c>
      <c r="F7" t="s">
        <v>9</v>
      </c>
      <c r="G7">
        <v>1</v>
      </c>
      <c r="H7" t="str" cm="1">
        <f t="array" ref="H7">_xlfn.XLOOKUP(Movies[[#This Row],[movie_id]:[movie_id]],Financials[[#All],[movie_id]:[movie_id]],Financials[[#All],[budget]],"Not Available",0)</f>
        <v>Not Available</v>
      </c>
      <c r="I7" t="str" cm="1">
        <f t="array" ref="I7">_xlfn.XLOOKUP(Movies[[#This Row],[movie_id]:[movie_id]],Financials[[#All],[movie_id]:[movie_id]],Financials[[#All],[revenue]],"Not Available",0)</f>
        <v>Not Available</v>
      </c>
      <c r="J7" t="str" cm="1">
        <f t="array" ref="J7">_xlfn.XLOOKUP(Movies[[#This Row],[movie_id]:[movie_id]],Financials[[#All],[movie_id]:[movie_id]],Financials[[#All],[unit]],"Not Available",0)</f>
        <v>Not Available</v>
      </c>
      <c r="K7" t="str" cm="1">
        <f t="array" ref="K7">_xlfn.XLOOKUP(Movies[[#This Row],[movie_id]:[movie_id]],Financials[[#All],[movie_id]:[movie_id]],Financials[[#All],[currency]],"Not Available",0)</f>
        <v>Not Available</v>
      </c>
    </row>
    <row r="8" spans="1:11" x14ac:dyDescent="0.3">
      <c r="A8">
        <v>107</v>
      </c>
      <c r="B8" t="s">
        <v>123</v>
      </c>
      <c r="C8" t="s">
        <v>6</v>
      </c>
      <c r="D8">
        <v>1995</v>
      </c>
      <c r="E8">
        <v>8</v>
      </c>
      <c r="F8" t="s">
        <v>10</v>
      </c>
      <c r="G8">
        <v>1</v>
      </c>
      <c r="H8" cm="1">
        <f t="array" ref="H8">_xlfn.XLOOKUP(Movies[[#This Row],[movie_id]:[movie_id]],Financials[[#All],[movie_id]:[movie_id]],Financials[[#All],[budget]],"Not Available",0)</f>
        <v>400</v>
      </c>
      <c r="I8" cm="1">
        <f t="array" ref="I8">_xlfn.XLOOKUP(Movies[[#This Row],[movie_id]:[movie_id]],Financials[[#All],[movie_id]:[movie_id]],Financials[[#All],[revenue]],"Not Available",0)</f>
        <v>2000</v>
      </c>
      <c r="J8" t="str" cm="1">
        <f t="array" ref="J8">_xlfn.XLOOKUP(Movies[[#This Row],[movie_id]:[movie_id]],Financials[[#All],[movie_id]:[movie_id]],Financials[[#All],[unit]],"Not Available",0)</f>
        <v>Millions</v>
      </c>
      <c r="K8" t="str" cm="1">
        <f t="array" ref="K8">_xlfn.XLOOKUP(Movies[[#This Row],[movie_id]:[movie_id]],Financials[[#All],[movie_id]:[movie_id]],Financials[[#All],[currency]],"Not Available",0)</f>
        <v>INR</v>
      </c>
    </row>
    <row r="9" spans="1:11" x14ac:dyDescent="0.3">
      <c r="A9">
        <v>108</v>
      </c>
      <c r="B9" t="s">
        <v>124</v>
      </c>
      <c r="C9" t="s">
        <v>6</v>
      </c>
      <c r="D9">
        <v>2009</v>
      </c>
      <c r="E9">
        <v>8.4</v>
      </c>
      <c r="F9" t="s">
        <v>11</v>
      </c>
      <c r="G9">
        <v>1</v>
      </c>
      <c r="H9" cm="1">
        <f t="array" ref="H9">_xlfn.XLOOKUP(Movies[[#This Row],[movie_id]:[movie_id]],Financials[[#All],[movie_id]:[movie_id]],Financials[[#All],[budget]],"Not Available",0)</f>
        <v>550</v>
      </c>
      <c r="I9" cm="1">
        <f t="array" ref="I9">_xlfn.XLOOKUP(Movies[[#This Row],[movie_id]:[movie_id]],Financials[[#All],[movie_id]:[movie_id]],Financials[[#All],[revenue]],"Not Available",0)</f>
        <v>4000</v>
      </c>
      <c r="J9" t="str" cm="1">
        <f t="array" ref="J9">_xlfn.XLOOKUP(Movies[[#This Row],[movie_id]:[movie_id]],Financials[[#All],[movie_id]:[movie_id]],Financials[[#All],[unit]],"Not Available",0)</f>
        <v>Millions</v>
      </c>
      <c r="K9" t="str" cm="1">
        <f t="array" ref="K9">_xlfn.XLOOKUP(Movies[[#This Row],[movie_id]:[movie_id]],Financials[[#All],[movie_id]:[movie_id]],Financials[[#All],[currency]],"Not Available",0)</f>
        <v>INR</v>
      </c>
    </row>
    <row r="10" spans="1:11" x14ac:dyDescent="0.3">
      <c r="A10">
        <v>109</v>
      </c>
      <c r="B10" t="s">
        <v>125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 cm="1">
        <f t="array" ref="H10">_xlfn.XLOOKUP(Movies[[#This Row],[movie_id]:[movie_id]],Financials[[#All],[movie_id]:[movie_id]],Financials[[#All],[budget]],"Not Available",0)</f>
        <v>390</v>
      </c>
      <c r="I10" cm="1">
        <f t="array" ref="I10">_xlfn.XLOOKUP(Movies[[#This Row],[movie_id]:[movie_id]],Financials[[#All],[movie_id]:[movie_id]],Financials[[#All],[revenue]],"Not Available",0)</f>
        <v>1360</v>
      </c>
      <c r="J10" t="str" cm="1">
        <f t="array" ref="J10">_xlfn.XLOOKUP(Movies[[#This Row],[movie_id]:[movie_id]],Financials[[#All],[movie_id]:[movie_id]],Financials[[#All],[unit]],"Not Available",0)</f>
        <v>Millions</v>
      </c>
      <c r="K10" t="str" cm="1">
        <f t="array" ref="K10">_xlfn.XLOOKUP(Movies[[#This Row],[movie_id]:[movie_id]],Financials[[#All],[movie_id]:[movie_id]],Financials[[#All],[currency]],"Not Available",0)</f>
        <v>INR</v>
      </c>
    </row>
    <row r="11" spans="1:11" x14ac:dyDescent="0.3">
      <c r="A11">
        <v>110</v>
      </c>
      <c r="B11" t="s">
        <v>126</v>
      </c>
      <c r="C11" t="s">
        <v>6</v>
      </c>
      <c r="D11">
        <v>2015</v>
      </c>
      <c r="E11">
        <v>7.2</v>
      </c>
      <c r="F11" t="s">
        <v>114</v>
      </c>
      <c r="G11">
        <v>1</v>
      </c>
      <c r="H11" cm="1">
        <f t="array" ref="H11">_xlfn.XLOOKUP(Movies[[#This Row],[movie_id]:[movie_id]],Financials[[#All],[movie_id]:[movie_id]],Financials[[#All],[budget]],"Not Available",0)</f>
        <v>1.4</v>
      </c>
      <c r="I11" cm="1">
        <f t="array" ref="I11">_xlfn.XLOOKUP(Movies[[#This Row],[movie_id]:[movie_id]],Financials[[#All],[movie_id]:[movie_id]],Financials[[#All],[revenue]],"Not Available",0)</f>
        <v>3.5</v>
      </c>
      <c r="J11" t="str" cm="1">
        <f t="array" ref="J11">_xlfn.XLOOKUP(Movies[[#This Row],[movie_id]:[movie_id]],Financials[[#All],[movie_id]:[movie_id]],Financials[[#All],[unit]],"Not Available",0)</f>
        <v>Billions</v>
      </c>
      <c r="K11" t="str" cm="1">
        <f t="array" ref="K11">_xlfn.XLOOKUP(Movies[[#This Row],[movie_id]:[movie_id]],Financials[[#All],[movie_id]:[movie_id]],Financials[[#All],[currency]],"Not Available",0)</f>
        <v>INR</v>
      </c>
    </row>
    <row r="12" spans="1:11" x14ac:dyDescent="0.3">
      <c r="A12">
        <v>111</v>
      </c>
      <c r="B12" t="s">
        <v>127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 cm="1">
        <f t="array" ref="H12">_xlfn.XLOOKUP(Movies[[#This Row],[movie_id]:[movie_id]],Financials[[#All],[movie_id]:[movie_id]],Financials[[#All],[budget]],"Not Available",0)</f>
        <v>25</v>
      </c>
      <c r="I12" cm="1">
        <f t="array" ref="I12">_xlfn.XLOOKUP(Movies[[#This Row],[movie_id]:[movie_id]],Financials[[#All],[movie_id]:[movie_id]],Financials[[#All],[revenue]],"Not Available",0)</f>
        <v>73.3</v>
      </c>
      <c r="J12" t="str" cm="1">
        <f t="array" ref="J12">_xlfn.XLOOKUP(Movies[[#This Row],[movie_id]:[movie_id]],Financials[[#All],[movie_id]:[movie_id]],Financials[[#All],[unit]],"Not Available",0)</f>
        <v>Millions</v>
      </c>
      <c r="K12" t="str" cm="1">
        <f t="array" ref="K12">_xlfn.XLOOKUP(Movies[[#This Row],[movie_id]:[movie_id]],Financials[[#All],[movie_id]:[movie_id]],Financials[[#All],[currency]],"Not Available",0)</f>
        <v>USD</v>
      </c>
    </row>
    <row r="13" spans="1:11" x14ac:dyDescent="0.3">
      <c r="A13">
        <v>112</v>
      </c>
      <c r="B13" t="s">
        <v>128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str" cm="1">
        <f t="array" ref="H13">_xlfn.XLOOKUP(Movies[[#This Row],[movie_id]:[movie_id]],Financials[[#All],[movie_id]:[movie_id]],Financials[[#All],[budget]],"Not Available",0)</f>
        <v>Not Available</v>
      </c>
      <c r="I13" t="str" cm="1">
        <f t="array" ref="I13">_xlfn.XLOOKUP(Movies[[#This Row],[movie_id]:[movie_id]],Financials[[#All],[movie_id]:[movie_id]],Financials[[#All],[revenue]],"Not Available",0)</f>
        <v>Not Available</v>
      </c>
      <c r="J13" t="str" cm="1">
        <f t="array" ref="J13">_xlfn.XLOOKUP(Movies[[#This Row],[movie_id]:[movie_id]],Financials[[#All],[movie_id]:[movie_id]],Financials[[#All],[unit]],"Not Available",0)</f>
        <v>Not Available</v>
      </c>
      <c r="K13" t="str" cm="1">
        <f t="array" ref="K13">_xlfn.XLOOKUP(Movies[[#This Row],[movie_id]:[movie_id]],Financials[[#All],[movie_id]:[movie_id]],Financials[[#All],[currency]],"Not Available",0)</f>
        <v>Not Available</v>
      </c>
    </row>
    <row r="14" spans="1:11" x14ac:dyDescent="0.3">
      <c r="A14">
        <v>113</v>
      </c>
      <c r="B14" t="s">
        <v>129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 cm="1">
        <f t="array" ref="H14">_xlfn.XLOOKUP(Movies[[#This Row],[movie_id]:[movie_id]],Financials[[#All],[movie_id]:[movie_id]],Financials[[#All],[budget]],"Not Available",0)</f>
        <v>165</v>
      </c>
      <c r="I14" cm="1">
        <f t="array" ref="I14">_xlfn.XLOOKUP(Movies[[#This Row],[movie_id]:[movie_id]],Financials[[#All],[movie_id]:[movie_id]],Financials[[#All],[revenue]],"Not Available",0)</f>
        <v>701.8</v>
      </c>
      <c r="J14" t="str" cm="1">
        <f t="array" ref="J14">_xlfn.XLOOKUP(Movies[[#This Row],[movie_id]:[movie_id]],Financials[[#All],[movie_id]:[movie_id]],Financials[[#All],[unit]],"Not Available",0)</f>
        <v>Millions</v>
      </c>
      <c r="K14" t="str" cm="1">
        <f t="array" ref="K14">_xlfn.XLOOKUP(Movies[[#This Row],[movie_id]:[movie_id]],Financials[[#All],[movie_id]:[movie_id]],Financials[[#All],[currency]],"Not Available",0)</f>
        <v>USD</v>
      </c>
    </row>
    <row r="15" spans="1:11" x14ac:dyDescent="0.3">
      <c r="A15">
        <v>115</v>
      </c>
      <c r="B15" t="s">
        <v>130</v>
      </c>
      <c r="C15" t="s">
        <v>7</v>
      </c>
      <c r="D15">
        <v>2006</v>
      </c>
      <c r="E15">
        <v>8</v>
      </c>
      <c r="F15" t="s">
        <v>15</v>
      </c>
      <c r="G15">
        <v>5</v>
      </c>
      <c r="H15" cm="1">
        <f t="array" ref="H15">_xlfn.XLOOKUP(Movies[[#This Row],[movie_id]:[movie_id]],Financials[[#All],[movie_id]:[movie_id]],Financials[[#All],[budget]],"Not Available",0)</f>
        <v>55</v>
      </c>
      <c r="I15" cm="1">
        <f t="array" ref="I15">_xlfn.XLOOKUP(Movies[[#This Row],[movie_id]:[movie_id]],Financials[[#All],[movie_id]:[movie_id]],Financials[[#All],[revenue]],"Not Available",0)</f>
        <v>307.10000000000002</v>
      </c>
      <c r="J15" t="str" cm="1">
        <f t="array" ref="J15">_xlfn.XLOOKUP(Movies[[#This Row],[movie_id]:[movie_id]],Financials[[#All],[movie_id]:[movie_id]],Financials[[#All],[unit]],"Not Available",0)</f>
        <v>Millions</v>
      </c>
      <c r="K15" t="str" cm="1">
        <f t="array" ref="K15">_xlfn.XLOOKUP(Movies[[#This Row],[movie_id]:[movie_id]],Financials[[#All],[movie_id]:[movie_id]],Financials[[#All],[currency]],"Not Available",0)</f>
        <v>USD</v>
      </c>
    </row>
    <row r="16" spans="1:11" x14ac:dyDescent="0.3">
      <c r="A16">
        <v>116</v>
      </c>
      <c r="B16" t="s">
        <v>131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 cm="1">
        <f t="array" ref="H16">_xlfn.XLOOKUP(Movies[[#This Row],[movie_id]:[movie_id]],Financials[[#All],[movie_id]:[movie_id]],Financials[[#All],[budget]],"Not Available",0)</f>
        <v>103</v>
      </c>
      <c r="I16" cm="1">
        <f t="array" ref="I16">_xlfn.XLOOKUP(Movies[[#This Row],[movie_id]:[movie_id]],Financials[[#All],[movie_id]:[movie_id]],Financials[[#All],[revenue]],"Not Available",0)</f>
        <v>460.5</v>
      </c>
      <c r="J16" t="str" cm="1">
        <f t="array" ref="J16">_xlfn.XLOOKUP(Movies[[#This Row],[movie_id]:[movie_id]],Financials[[#All],[movie_id]:[movie_id]],Financials[[#All],[unit]],"Not Available",0)</f>
        <v>Millions</v>
      </c>
      <c r="K16" t="str" cm="1">
        <f t="array" ref="K16">_xlfn.XLOOKUP(Movies[[#This Row],[movie_id]:[movie_id]],Financials[[#All],[movie_id]:[movie_id]],Financials[[#All],[currency]],"Not Available",0)</f>
        <v>USD</v>
      </c>
    </row>
    <row r="17" spans="1:11" x14ac:dyDescent="0.3">
      <c r="A17">
        <v>117</v>
      </c>
      <c r="B17" t="s">
        <v>132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 cm="1">
        <f t="array" ref="H17">_xlfn.XLOOKUP(Movies[[#This Row],[movie_id]:[movie_id]],Financials[[#All],[movie_id]:[movie_id]],Financials[[#All],[budget]],"Not Available",0)</f>
        <v>200</v>
      </c>
      <c r="I17" cm="1">
        <f t="array" ref="I17">_xlfn.XLOOKUP(Movies[[#This Row],[movie_id]:[movie_id]],Financials[[#All],[movie_id]:[movie_id]],Financials[[#All],[revenue]],"Not Available",0)</f>
        <v>2202</v>
      </c>
      <c r="J17" t="str" cm="1">
        <f t="array" ref="J17">_xlfn.XLOOKUP(Movies[[#This Row],[movie_id]:[movie_id]],Financials[[#All],[movie_id]:[movie_id]],Financials[[#All],[unit]],"Not Available",0)</f>
        <v>Millions</v>
      </c>
      <c r="K17" t="str" cm="1">
        <f t="array" ref="K17">_xlfn.XLOOKUP(Movies[[#This Row],[movie_id]:[movie_id]],Financials[[#All],[movie_id]:[movie_id]],Financials[[#All],[currency]],"Not Available",0)</f>
        <v>USD</v>
      </c>
    </row>
    <row r="18" spans="1:11" x14ac:dyDescent="0.3">
      <c r="A18">
        <v>118</v>
      </c>
      <c r="B18" t="s">
        <v>133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 cm="1">
        <f t="array" ref="H18">_xlfn.XLOOKUP(Movies[[#This Row],[movie_id]:[movie_id]],Financials[[#All],[movie_id]:[movie_id]],Financials[[#All],[budget]],"Not Available",0)</f>
        <v>3.18</v>
      </c>
      <c r="I18" cm="1">
        <f t="array" ref="I18">_xlfn.XLOOKUP(Movies[[#This Row],[movie_id]:[movie_id]],Financials[[#All],[movie_id]:[movie_id]],Financials[[#All],[revenue]],"Not Available",0)</f>
        <v>3.3</v>
      </c>
      <c r="J18" t="str" cm="1">
        <f t="array" ref="J18">_xlfn.XLOOKUP(Movies[[#This Row],[movie_id]:[movie_id]],Financials[[#All],[movie_id]:[movie_id]],Financials[[#All],[unit]],"Not Available",0)</f>
        <v>Millions</v>
      </c>
      <c r="K18" t="str" cm="1">
        <f t="array" ref="K18">_xlfn.XLOOKUP(Movies[[#This Row],[movie_id]:[movie_id]],Financials[[#All],[movie_id]:[movie_id]],Financials[[#All],[currency]],"Not Available",0)</f>
        <v>USD</v>
      </c>
    </row>
    <row r="19" spans="1:11" x14ac:dyDescent="0.3">
      <c r="A19">
        <v>119</v>
      </c>
      <c r="B19" t="s">
        <v>134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 cm="1">
        <f t="array" ref="H19">_xlfn.XLOOKUP(Movies[[#This Row],[movie_id]:[movie_id]],Financials[[#All],[movie_id]:[movie_id]],Financials[[#All],[budget]],"Not Available",0)</f>
        <v>237</v>
      </c>
      <c r="I19" cm="1">
        <f t="array" ref="I19">_xlfn.XLOOKUP(Movies[[#This Row],[movie_id]:[movie_id]],Financials[[#All],[movie_id]:[movie_id]],Financials[[#All],[revenue]],"Not Available",0)</f>
        <v>2847</v>
      </c>
      <c r="J19" t="str" cm="1">
        <f t="array" ref="J19">_xlfn.XLOOKUP(Movies[[#This Row],[movie_id]:[movie_id]],Financials[[#All],[movie_id]:[movie_id]],Financials[[#All],[unit]],"Not Available",0)</f>
        <v>Millions</v>
      </c>
      <c r="K19" t="str" cm="1">
        <f t="array" ref="K19">_xlfn.XLOOKUP(Movies[[#This Row],[movie_id]:[movie_id]],Financials[[#All],[movie_id]:[movie_id]],Financials[[#All],[currency]],"Not Available",0)</f>
        <v>USD</v>
      </c>
    </row>
    <row r="20" spans="1:11" x14ac:dyDescent="0.3">
      <c r="A20">
        <v>120</v>
      </c>
      <c r="B20" t="s">
        <v>135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 cm="1">
        <f t="array" ref="H20">_xlfn.XLOOKUP(Movies[[#This Row],[movie_id]:[movie_id]],Financials[[#All],[movie_id]:[movie_id]],Financials[[#All],[budget]],"Not Available",0)</f>
        <v>7.2</v>
      </c>
      <c r="I20" cm="1">
        <f t="array" ref="I20">_xlfn.XLOOKUP(Movies[[#This Row],[movie_id]:[movie_id]],Financials[[#All],[movie_id]:[movie_id]],Financials[[#All],[revenue]],"Not Available",0)</f>
        <v>291</v>
      </c>
      <c r="J20" t="str" cm="1">
        <f t="array" ref="J20">_xlfn.XLOOKUP(Movies[[#This Row],[movie_id]:[movie_id]],Financials[[#All],[movie_id]:[movie_id]],Financials[[#All],[unit]],"Not Available",0)</f>
        <v>Millions</v>
      </c>
      <c r="K20" t="str" cm="1">
        <f t="array" ref="K20">_xlfn.XLOOKUP(Movies[[#This Row],[movie_id]:[movie_id]],Financials[[#All],[movie_id]:[movie_id]],Financials[[#All],[currency]],"Not Available",0)</f>
        <v>USD</v>
      </c>
    </row>
    <row r="21" spans="1:11" x14ac:dyDescent="0.3">
      <c r="A21">
        <v>121</v>
      </c>
      <c r="B21" t="s">
        <v>136</v>
      </c>
      <c r="C21" t="s">
        <v>7</v>
      </c>
      <c r="D21">
        <v>2008</v>
      </c>
      <c r="E21">
        <v>9</v>
      </c>
      <c r="F21" t="s">
        <v>19</v>
      </c>
      <c r="G21">
        <v>5</v>
      </c>
      <c r="H21" cm="1">
        <f t="array" ref="H21">_xlfn.XLOOKUP(Movies[[#This Row],[movie_id]:[movie_id]],Financials[[#All],[movie_id]:[movie_id]],Financials[[#All],[budget]],"Not Available",0)</f>
        <v>185</v>
      </c>
      <c r="I21" cm="1">
        <f t="array" ref="I21">_xlfn.XLOOKUP(Movies[[#This Row],[movie_id]:[movie_id]],Financials[[#All],[movie_id]:[movie_id]],Financials[[#All],[revenue]],"Not Available",0)</f>
        <v>1006</v>
      </c>
      <c r="J21" t="str" cm="1">
        <f t="array" ref="J21">_xlfn.XLOOKUP(Movies[[#This Row],[movie_id]:[movie_id]],Financials[[#All],[movie_id]:[movie_id]],Financials[[#All],[unit]],"Not Available",0)</f>
        <v>Millions</v>
      </c>
      <c r="K21" t="str" cm="1">
        <f t="array" ref="K21">_xlfn.XLOOKUP(Movies[[#This Row],[movie_id]:[movie_id]],Financials[[#All],[movie_id]:[movie_id]],Financials[[#All],[currency]],"Not Available",0)</f>
        <v>USD</v>
      </c>
    </row>
    <row r="22" spans="1:11" x14ac:dyDescent="0.3">
      <c r="A22">
        <v>122</v>
      </c>
      <c r="B22" t="s">
        <v>137</v>
      </c>
      <c r="C22" t="s">
        <v>7</v>
      </c>
      <c r="D22">
        <v>1993</v>
      </c>
      <c r="E22">
        <v>9</v>
      </c>
      <c r="F22" t="s">
        <v>20</v>
      </c>
      <c r="G22">
        <v>5</v>
      </c>
      <c r="H22" cm="1">
        <f t="array" ref="H22">_xlfn.XLOOKUP(Movies[[#This Row],[movie_id]:[movie_id]],Financials[[#All],[movie_id]:[movie_id]],Financials[[#All],[budget]],"Not Available",0)</f>
        <v>22</v>
      </c>
      <c r="I22" cm="1">
        <f t="array" ref="I22">_xlfn.XLOOKUP(Movies[[#This Row],[movie_id]:[movie_id]],Financials[[#All],[movie_id]:[movie_id]],Financials[[#All],[revenue]],"Not Available",0)</f>
        <v>322.2</v>
      </c>
      <c r="J22" t="str" cm="1">
        <f t="array" ref="J22">_xlfn.XLOOKUP(Movies[[#This Row],[movie_id]:[movie_id]],Financials[[#All],[movie_id]:[movie_id]],Financials[[#All],[unit]],"Not Available",0)</f>
        <v>Millions</v>
      </c>
      <c r="K22" t="str" cm="1">
        <f t="array" ref="K22">_xlfn.XLOOKUP(Movies[[#This Row],[movie_id]:[movie_id]],Financials[[#All],[movie_id]:[movie_id]],Financials[[#All],[currency]],"Not Available",0)</f>
        <v>USD</v>
      </c>
    </row>
    <row r="23" spans="1:11" x14ac:dyDescent="0.3">
      <c r="A23">
        <v>123</v>
      </c>
      <c r="B23" t="s">
        <v>138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 cm="1">
        <f t="array" ref="H23">_xlfn.XLOOKUP(Movies[[#This Row],[movie_id]:[movie_id]],Financials[[#All],[movie_id]:[movie_id]],Financials[[#All],[budget]],"Not Available",0)</f>
        <v>63</v>
      </c>
      <c r="I23" cm="1">
        <f t="array" ref="I23">_xlfn.XLOOKUP(Movies[[#This Row],[movie_id]:[movie_id]],Financials[[#All],[movie_id]:[movie_id]],Financials[[#All],[revenue]],"Not Available",0)</f>
        <v>1046</v>
      </c>
      <c r="J23" t="str" cm="1">
        <f t="array" ref="J23">_xlfn.XLOOKUP(Movies[[#This Row],[movie_id]:[movie_id]],Financials[[#All],[movie_id]:[movie_id]],Financials[[#All],[unit]],"Not Available",0)</f>
        <v>Millions</v>
      </c>
      <c r="K23" t="str" cm="1">
        <f t="array" ref="K23">_xlfn.XLOOKUP(Movies[[#This Row],[movie_id]:[movie_id]],Financials[[#All],[movie_id]:[movie_id]],Financials[[#All],[currency]],"Not Available",0)</f>
        <v>USD</v>
      </c>
    </row>
    <row r="24" spans="1:11" x14ac:dyDescent="0.3">
      <c r="A24">
        <v>124</v>
      </c>
      <c r="B24" t="s">
        <v>139</v>
      </c>
      <c r="C24" t="s">
        <v>7</v>
      </c>
      <c r="D24">
        <v>2019</v>
      </c>
      <c r="E24">
        <v>8.5</v>
      </c>
      <c r="F24" t="s">
        <v>114</v>
      </c>
      <c r="G24">
        <v>5</v>
      </c>
      <c r="H24" cm="1">
        <f t="array" ref="H24">_xlfn.XLOOKUP(Movies[[#This Row],[movie_id]:[movie_id]],Financials[[#All],[movie_id]:[movie_id]],Financials[[#All],[budget]],"Not Available",0)</f>
        <v>15.5</v>
      </c>
      <c r="I24" cm="1">
        <f t="array" ref="I24">_xlfn.XLOOKUP(Movies[[#This Row],[movie_id]:[movie_id]],Financials[[#All],[movie_id]:[movie_id]],Financials[[#All],[revenue]],"Not Available",0)</f>
        <v>263.10000000000002</v>
      </c>
      <c r="J24" t="str" cm="1">
        <f t="array" ref="J24">_xlfn.XLOOKUP(Movies[[#This Row],[movie_id]:[movie_id]],Financials[[#All],[movie_id]:[movie_id]],Financials[[#All],[unit]],"Not Available",0)</f>
        <v>Millions</v>
      </c>
      <c r="K24" t="str" cm="1">
        <f t="array" ref="K24">_xlfn.XLOOKUP(Movies[[#This Row],[movie_id]:[movie_id]],Financials[[#All],[movie_id]:[movie_id]],Financials[[#All],[currency]],"Not Available",0)</f>
        <v>USD</v>
      </c>
    </row>
    <row r="25" spans="1:11" x14ac:dyDescent="0.3">
      <c r="A25">
        <v>125</v>
      </c>
      <c r="B25" t="s">
        <v>140</v>
      </c>
      <c r="C25" t="s">
        <v>7</v>
      </c>
      <c r="D25">
        <v>2019</v>
      </c>
      <c r="E25">
        <v>8.4</v>
      </c>
      <c r="F25" t="s">
        <v>8</v>
      </c>
      <c r="G25">
        <v>5</v>
      </c>
      <c r="H25" cm="1">
        <f t="array" ref="H25">_xlfn.XLOOKUP(Movies[[#This Row],[movie_id]:[movie_id]],Financials[[#All],[movie_id]:[movie_id]],Financials[[#All],[budget]],"Not Available",0)</f>
        <v>400</v>
      </c>
      <c r="I25" cm="1">
        <f t="array" ref="I25">_xlfn.XLOOKUP(Movies[[#This Row],[movie_id]:[movie_id]],Financials[[#All],[movie_id]:[movie_id]],Financials[[#All],[revenue]],"Not Available",0)</f>
        <v>2798</v>
      </c>
      <c r="J25" t="str" cm="1">
        <f t="array" ref="J25">_xlfn.XLOOKUP(Movies[[#This Row],[movie_id]:[movie_id]],Financials[[#All],[movie_id]:[movie_id]],Financials[[#All],[unit]],"Not Available",0)</f>
        <v>Millions</v>
      </c>
      <c r="K25" t="str" cm="1">
        <f t="array" ref="K25">_xlfn.XLOOKUP(Movies[[#This Row],[movie_id]:[movie_id]],Financials[[#All],[movie_id]:[movie_id]],Financials[[#All],[currency]],"Not Available",0)</f>
        <v>USD</v>
      </c>
    </row>
    <row r="26" spans="1:11" x14ac:dyDescent="0.3">
      <c r="A26">
        <v>126</v>
      </c>
      <c r="B26" t="s">
        <v>141</v>
      </c>
      <c r="C26" t="s">
        <v>7</v>
      </c>
      <c r="D26">
        <v>2018</v>
      </c>
      <c r="E26">
        <v>8.4</v>
      </c>
      <c r="F26" t="s">
        <v>8</v>
      </c>
      <c r="G26">
        <v>5</v>
      </c>
      <c r="H26" cm="1">
        <f t="array" ref="H26">_xlfn.XLOOKUP(Movies[[#This Row],[movie_id]:[movie_id]],Financials[[#All],[movie_id]:[movie_id]],Financials[[#All],[budget]],"Not Available",0)</f>
        <v>400</v>
      </c>
      <c r="I26" cm="1">
        <f t="array" ref="I26">_xlfn.XLOOKUP(Movies[[#This Row],[movie_id]:[movie_id]],Financials[[#All],[movie_id]:[movie_id]],Financials[[#All],[revenue]],"Not Available",0)</f>
        <v>2048</v>
      </c>
      <c r="J26" t="str" cm="1">
        <f t="array" ref="J26">_xlfn.XLOOKUP(Movies[[#This Row],[movie_id]:[movie_id]],Financials[[#All],[movie_id]:[movie_id]],Financials[[#All],[unit]],"Not Available",0)</f>
        <v>Millions</v>
      </c>
      <c r="K26" t="str" cm="1">
        <f t="array" ref="K26">_xlfn.XLOOKUP(Movies[[#This Row],[movie_id]:[movie_id]],Financials[[#All],[movie_id]:[movie_id]],Financials[[#All],[currency]],"Not Available",0)</f>
        <v>USD</v>
      </c>
    </row>
    <row r="27" spans="1:11" x14ac:dyDescent="0.3">
      <c r="A27">
        <v>127</v>
      </c>
      <c r="B27" t="s">
        <v>142</v>
      </c>
      <c r="C27" t="s">
        <v>6</v>
      </c>
      <c r="D27">
        <v>1955</v>
      </c>
      <c r="E27">
        <v>8.3000000000000007</v>
      </c>
      <c r="F27" t="s">
        <v>116</v>
      </c>
      <c r="G27">
        <v>7</v>
      </c>
      <c r="H27" cm="1">
        <f t="array" ref="H27">_xlfn.XLOOKUP(Movies[[#This Row],[movie_id]:[movie_id]],Financials[[#All],[movie_id]:[movie_id]],Financials[[#All],[budget]],"Not Available",0)</f>
        <v>70</v>
      </c>
      <c r="I27" cm="1">
        <f t="array" ref="I27">_xlfn.XLOOKUP(Movies[[#This Row],[movie_id]:[movie_id]],Financials[[#All],[movie_id]:[movie_id]],Financials[[#All],[revenue]],"Not Available",0)</f>
        <v>100</v>
      </c>
      <c r="J27" t="str" cm="1">
        <f t="array" ref="J27">_xlfn.XLOOKUP(Movies[[#This Row],[movie_id]:[movie_id]],Financials[[#All],[movie_id]:[movie_id]],Financials[[#All],[unit]],"Not Available",0)</f>
        <v>Millions</v>
      </c>
      <c r="K27" t="str" cm="1">
        <f t="array" ref="K27">_xlfn.XLOOKUP(Movies[[#This Row],[movie_id]:[movie_id]],Financials[[#All],[movie_id]:[movie_id]],Financials[[#All],[currency]],"Not Available",0)</f>
        <v>INR</v>
      </c>
    </row>
    <row r="28" spans="1:11" x14ac:dyDescent="0.3">
      <c r="A28">
        <v>128</v>
      </c>
      <c r="B28" t="s">
        <v>143</v>
      </c>
      <c r="C28" t="s">
        <v>6</v>
      </c>
      <c r="D28">
        <v>2007</v>
      </c>
      <c r="E28">
        <v>8.3000000000000007</v>
      </c>
      <c r="F28" t="s">
        <v>114</v>
      </c>
      <c r="G28">
        <v>1</v>
      </c>
      <c r="H28" cm="1">
        <f t="array" ref="H28">_xlfn.XLOOKUP(Movies[[#This Row],[movie_id]:[movie_id]],Financials[[#All],[movie_id]:[movie_id]],Financials[[#All],[budget]],"Not Available",0)</f>
        <v>120</v>
      </c>
      <c r="I28" cm="1">
        <f t="array" ref="I28">_xlfn.XLOOKUP(Movies[[#This Row],[movie_id]:[movie_id]],Financials[[#All],[movie_id]:[movie_id]],Financials[[#All],[revenue]],"Not Available",0)</f>
        <v>1350</v>
      </c>
      <c r="J28" t="str" cm="1">
        <f t="array" ref="J28">_xlfn.XLOOKUP(Movies[[#This Row],[movie_id]:[movie_id]],Financials[[#All],[movie_id]:[movie_id]],Financials[[#All],[unit]],"Not Available",0)</f>
        <v>Millions</v>
      </c>
      <c r="K28" t="str" cm="1">
        <f t="array" ref="K28">_xlfn.XLOOKUP(Movies[[#This Row],[movie_id]:[movie_id]],Financials[[#All],[movie_id]:[movie_id]],Financials[[#All],[currency]],"Not Available",0)</f>
        <v>INR</v>
      </c>
    </row>
    <row r="29" spans="1:11" x14ac:dyDescent="0.3">
      <c r="A29">
        <v>129</v>
      </c>
      <c r="B29" t="s">
        <v>144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 cm="1">
        <f t="array" ref="H29">_xlfn.XLOOKUP(Movies[[#This Row],[movie_id]:[movie_id]],Financials[[#All],[movie_id]:[movie_id]],Financials[[#All],[budget]],"Not Available",0)</f>
        <v>100</v>
      </c>
      <c r="I29" cm="1">
        <f t="array" ref="I29">_xlfn.XLOOKUP(Movies[[#This Row],[movie_id]:[movie_id]],Financials[[#All],[movie_id]:[movie_id]],Financials[[#All],[revenue]],"Not Available",0)</f>
        <v>410</v>
      </c>
      <c r="J29" t="str" cm="1">
        <f t="array" ref="J29">_xlfn.XLOOKUP(Movies[[#This Row],[movie_id]:[movie_id]],Financials[[#All],[movie_id]:[movie_id]],Financials[[#All],[unit]],"Not Available",0)</f>
        <v>Millions</v>
      </c>
      <c r="K29" t="str" cm="1">
        <f t="array" ref="K29">_xlfn.XLOOKUP(Movies[[#This Row],[movie_id]:[movie_id]],Financials[[#All],[movie_id]:[movie_id]],Financials[[#All],[currency]],"Not Available",0)</f>
        <v>INR</v>
      </c>
    </row>
    <row r="30" spans="1:11" x14ac:dyDescent="0.3">
      <c r="A30">
        <v>130</v>
      </c>
      <c r="B30" t="s">
        <v>145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 cm="1">
        <f t="array" ref="H30">_xlfn.XLOOKUP(Movies[[#This Row],[movie_id]:[movie_id]],Financials[[#All],[movie_id]:[movie_id]],Financials[[#All],[budget]],"Not Available",0)</f>
        <v>850</v>
      </c>
      <c r="I30" cm="1">
        <f t="array" ref="I30">_xlfn.XLOOKUP(Movies[[#This Row],[movie_id]:[movie_id]],Financials[[#All],[movie_id]:[movie_id]],Financials[[#All],[revenue]],"Not Available",0)</f>
        <v>8540</v>
      </c>
      <c r="J30" t="str" cm="1">
        <f t="array" ref="J30">_xlfn.XLOOKUP(Movies[[#This Row],[movie_id]:[movie_id]],Financials[[#All],[movie_id]:[movie_id]],Financials[[#All],[unit]],"Not Available",0)</f>
        <v>Millions</v>
      </c>
      <c r="K30" t="str" cm="1">
        <f t="array" ref="K30">_xlfn.XLOOKUP(Movies[[#This Row],[movie_id]:[movie_id]],Financials[[#All],[movie_id]:[movie_id]],Financials[[#All],[currency]],"Not Available",0)</f>
        <v>INR</v>
      </c>
    </row>
    <row r="31" spans="1:11" x14ac:dyDescent="0.3">
      <c r="A31">
        <v>131</v>
      </c>
      <c r="B31" t="s">
        <v>146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 cm="1">
        <f t="array" ref="H31">_xlfn.XLOOKUP(Movies[[#This Row],[movie_id]:[movie_id]],Financials[[#All],[movie_id]:[movie_id]],Financials[[#All],[budget]],"Not Available",0)</f>
        <v>1</v>
      </c>
      <c r="I31" cm="1">
        <f t="array" ref="I31">_xlfn.XLOOKUP(Movies[[#This Row],[movie_id]:[movie_id]],Financials[[#All],[movie_id]:[movie_id]],Financials[[#All],[revenue]],"Not Available",0)</f>
        <v>5.9</v>
      </c>
      <c r="J31" t="str" cm="1">
        <f t="array" ref="J31">_xlfn.XLOOKUP(Movies[[#This Row],[movie_id]:[movie_id]],Financials[[#All],[movie_id]:[movie_id]],Financials[[#All],[unit]],"Not Available",0)</f>
        <v>Billions</v>
      </c>
      <c r="K31" t="str" cm="1">
        <f t="array" ref="K31">_xlfn.XLOOKUP(Movies[[#This Row],[movie_id]:[movie_id]],Financials[[#All],[movie_id]:[movie_id]],Financials[[#All],[currency]],"Not Available",0)</f>
        <v>INR</v>
      </c>
    </row>
    <row r="32" spans="1:11" x14ac:dyDescent="0.3">
      <c r="A32">
        <v>132</v>
      </c>
      <c r="B32" t="s">
        <v>147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 cm="1">
        <f t="array" ref="H32">_xlfn.XLOOKUP(Movies[[#This Row],[movie_id]:[movie_id]],Financials[[#All],[movie_id]:[movie_id]],Financials[[#All],[budget]],"Not Available",0)</f>
        <v>2</v>
      </c>
      <c r="I32" cm="1">
        <f t="array" ref="I32">_xlfn.XLOOKUP(Movies[[#This Row],[movie_id]:[movie_id]],Financials[[#All],[movie_id]:[movie_id]],Financials[[#All],[revenue]],"Not Available",0)</f>
        <v>3.6</v>
      </c>
      <c r="J32" t="str" cm="1">
        <f t="array" ref="J32">_xlfn.XLOOKUP(Movies[[#This Row],[movie_id]:[movie_id]],Financials[[#All],[movie_id]:[movie_id]],Financials[[#All],[unit]],"Not Available",0)</f>
        <v>Billions</v>
      </c>
      <c r="K32" t="str" cm="1">
        <f t="array" ref="K32">_xlfn.XLOOKUP(Movies[[#This Row],[movie_id]:[movie_id]],Financials[[#All],[movie_id]:[movie_id]],Financials[[#All],[currency]],"Not Available",0)</f>
        <v>INR</v>
      </c>
    </row>
    <row r="33" spans="1:11" x14ac:dyDescent="0.3">
      <c r="A33">
        <v>133</v>
      </c>
      <c r="B33" t="s">
        <v>148</v>
      </c>
      <c r="C33" t="s">
        <v>6</v>
      </c>
      <c r="D33">
        <v>2022</v>
      </c>
      <c r="E33">
        <v>8</v>
      </c>
      <c r="F33" t="s">
        <v>23</v>
      </c>
      <c r="G33">
        <v>2</v>
      </c>
      <c r="H33" cm="1">
        <f t="array" ref="H33">_xlfn.XLOOKUP(Movies[[#This Row],[movie_id]:[movie_id]],Financials[[#All],[movie_id]:[movie_id]],Financials[[#All],[budget]],"Not Available",0)</f>
        <v>5.5</v>
      </c>
      <c r="I33" cm="1">
        <f t="array" ref="I33">_xlfn.XLOOKUP(Movies[[#This Row],[movie_id]:[movie_id]],Financials[[#All],[movie_id]:[movie_id]],Financials[[#All],[revenue]],"Not Available",0)</f>
        <v>12</v>
      </c>
      <c r="J33" t="str" cm="1">
        <f t="array" ref="J33">_xlfn.XLOOKUP(Movies[[#This Row],[movie_id]:[movie_id]],Financials[[#All],[movie_id]:[movie_id]],Financials[[#All],[unit]],"Not Available",0)</f>
        <v>Billions</v>
      </c>
      <c r="K33" t="str" cm="1">
        <f t="array" ref="K33">_xlfn.XLOOKUP(Movies[[#This Row],[movie_id]:[movie_id]],Financials[[#All],[movie_id]:[movie_id]],Financials[[#All],[currency]],"Not Available",0)</f>
        <v>INR</v>
      </c>
    </row>
    <row r="34" spans="1:11" x14ac:dyDescent="0.3">
      <c r="A34">
        <v>134</v>
      </c>
      <c r="B34" t="s">
        <v>149</v>
      </c>
      <c r="C34" t="s">
        <v>6</v>
      </c>
      <c r="D34">
        <v>2015</v>
      </c>
      <c r="E34">
        <v>8</v>
      </c>
      <c r="F34" t="s">
        <v>24</v>
      </c>
      <c r="G34">
        <v>2</v>
      </c>
      <c r="H34" cm="1">
        <f t="array" ref="H34">_xlfn.XLOOKUP(Movies[[#This Row],[movie_id]:[movie_id]],Financials[[#All],[movie_id]:[movie_id]],Financials[[#All],[budget]],"Not Available",0)</f>
        <v>1.8</v>
      </c>
      <c r="I34" cm="1">
        <f t="array" ref="I34">_xlfn.XLOOKUP(Movies[[#This Row],[movie_id]:[movie_id]],Financials[[#All],[movie_id]:[movie_id]],Financials[[#All],[revenue]],"Not Available",0)</f>
        <v>6.5</v>
      </c>
      <c r="J34" t="str" cm="1">
        <f t="array" ref="J34">_xlfn.XLOOKUP(Movies[[#This Row],[movie_id]:[movie_id]],Financials[[#All],[movie_id]:[movie_id]],Financials[[#All],[unit]],"Not Available",0)</f>
        <v>Billions</v>
      </c>
      <c r="K34" t="str" cm="1">
        <f t="array" ref="K34">_xlfn.XLOOKUP(Movies[[#This Row],[movie_id]:[movie_id]],Financials[[#All],[movie_id]:[movie_id]],Financials[[#All],[currency]],"Not Available",0)</f>
        <v>INR</v>
      </c>
    </row>
    <row r="35" spans="1:11" x14ac:dyDescent="0.3">
      <c r="A35">
        <v>135</v>
      </c>
      <c r="B35" t="s">
        <v>150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 cm="1">
        <f t="array" ref="H35">_xlfn.XLOOKUP(Movies[[#This Row],[movie_id]:[movie_id]],Financials[[#All],[movie_id]:[movie_id]],Financials[[#All],[budget]],"Not Available",0)</f>
        <v>250</v>
      </c>
      <c r="I35" cm="1">
        <f t="array" ref="I35">_xlfn.XLOOKUP(Movies[[#This Row],[movie_id]:[movie_id]],Financials[[#All],[movie_id]:[movie_id]],Financials[[#All],[revenue]],"Not Available",0)</f>
        <v>3409</v>
      </c>
      <c r="J35" t="str" cm="1">
        <f t="array" ref="J35">_xlfn.XLOOKUP(Movies[[#This Row],[movie_id]:[movie_id]],Financials[[#All],[movie_id]:[movie_id]],Financials[[#All],[unit]],"Not Available",0)</f>
        <v>Millions</v>
      </c>
      <c r="K35" t="str" cm="1">
        <f t="array" ref="K35">_xlfn.XLOOKUP(Movies[[#This Row],[movie_id]:[movie_id]],Financials[[#All],[movie_id]:[movie_id]],Financials[[#All],[currency]],"Not Available",0)</f>
        <v>INR</v>
      </c>
    </row>
    <row r="36" spans="1:11" x14ac:dyDescent="0.3">
      <c r="A36">
        <v>136</v>
      </c>
      <c r="B36" t="s">
        <v>151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 cm="1">
        <f t="array" ref="H36">_xlfn.XLOOKUP(Movies[[#This Row],[movie_id]:[movie_id]],Financials[[#All],[movie_id]:[movie_id]],Financials[[#All],[budget]],"Not Available",0)</f>
        <v>900</v>
      </c>
      <c r="I36" cm="1">
        <f t="array" ref="I36">_xlfn.XLOOKUP(Movies[[#This Row],[movie_id]:[movie_id]],Financials[[#All],[movie_id]:[movie_id]],Financials[[#All],[revenue]],"Not Available",0)</f>
        <v>11690</v>
      </c>
      <c r="J36" t="str" cm="1">
        <f t="array" ref="J36">_xlfn.XLOOKUP(Movies[[#This Row],[movie_id]:[movie_id]],Financials[[#All],[movie_id]:[movie_id]],Financials[[#All],[unit]],"Not Available",0)</f>
        <v>Millions</v>
      </c>
      <c r="K36" t="str" cm="1">
        <f t="array" ref="K36">_xlfn.XLOOKUP(Movies[[#This Row],[movie_id]:[movie_id]],Financials[[#All],[movie_id]:[movie_id]],Financials[[#All],[currency]],"Not Available",0)</f>
        <v>INR</v>
      </c>
    </row>
    <row r="37" spans="1:11" x14ac:dyDescent="0.3">
      <c r="A37">
        <v>137</v>
      </c>
      <c r="B37" t="s">
        <v>152</v>
      </c>
      <c r="C37" t="s">
        <v>7</v>
      </c>
      <c r="D37">
        <v>2011</v>
      </c>
      <c r="E37">
        <v>6.9</v>
      </c>
      <c r="F37" t="s">
        <v>8</v>
      </c>
      <c r="G37">
        <v>5</v>
      </c>
      <c r="H37" cm="1">
        <f t="array" ref="H37">_xlfn.XLOOKUP(Movies[[#This Row],[movie_id]:[movie_id]],Financials[[#All],[movie_id]:[movie_id]],Financials[[#All],[budget]],"Not Available",0)</f>
        <v>216.7</v>
      </c>
      <c r="I37" cm="1">
        <f t="array" ref="I37">_xlfn.XLOOKUP(Movies[[#This Row],[movie_id]:[movie_id]],Financials[[#All],[movie_id]:[movie_id]],Financials[[#All],[revenue]],"Not Available",0)</f>
        <v>370.6</v>
      </c>
      <c r="J37" t="str" cm="1">
        <f t="array" ref="J37">_xlfn.XLOOKUP(Movies[[#This Row],[movie_id]:[movie_id]],Financials[[#All],[movie_id]:[movie_id]],Financials[[#All],[unit]],"Not Available",0)</f>
        <v>Millions</v>
      </c>
      <c r="K37" t="str" cm="1">
        <f t="array" ref="K37">_xlfn.XLOOKUP(Movies[[#This Row],[movie_id]:[movie_id]],Financials[[#All],[movie_id]:[movie_id]],Financials[[#All],[currency]],"Not Available",0)</f>
        <v>USD</v>
      </c>
    </row>
    <row r="38" spans="1:11" x14ac:dyDescent="0.3">
      <c r="A38">
        <v>138</v>
      </c>
      <c r="B38" t="s">
        <v>153</v>
      </c>
      <c r="C38" t="s">
        <v>7</v>
      </c>
      <c r="D38">
        <v>2014</v>
      </c>
      <c r="E38">
        <v>7.8</v>
      </c>
      <c r="F38" t="s">
        <v>8</v>
      </c>
      <c r="G38">
        <v>5</v>
      </c>
      <c r="H38" cm="1">
        <f t="array" ref="H38">_xlfn.XLOOKUP(Movies[[#This Row],[movie_id]:[movie_id]],Financials[[#All],[movie_id]:[movie_id]],Financials[[#All],[budget]],"Not Available",0)</f>
        <v>177</v>
      </c>
      <c r="I38" cm="1">
        <f t="array" ref="I38">_xlfn.XLOOKUP(Movies[[#This Row],[movie_id]:[movie_id]],Financials[[#All],[movie_id]:[movie_id]],Financials[[#All],[revenue]],"Not Available",0)</f>
        <v>714.4</v>
      </c>
      <c r="J38" t="str" cm="1">
        <f t="array" ref="J38">_xlfn.XLOOKUP(Movies[[#This Row],[movie_id]:[movie_id]],Financials[[#All],[movie_id]:[movie_id]],Financials[[#All],[unit]],"Not Available",0)</f>
        <v>Millions</v>
      </c>
      <c r="K38" t="str" cm="1">
        <f t="array" ref="K38">_xlfn.XLOOKUP(Movies[[#This Row],[movie_id]:[movie_id]],Financials[[#All],[movie_id]:[movie_id]],Financials[[#All],[currency]],"Not Available",0)</f>
        <v>USD</v>
      </c>
    </row>
    <row r="39" spans="1:11" x14ac:dyDescent="0.3">
      <c r="A39">
        <v>139</v>
      </c>
      <c r="B39" t="s">
        <v>154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 cm="1">
        <f t="array" ref="H39">_xlfn.XLOOKUP(Movies[[#This Row],[movie_id]:[movie_id]],Financials[[#All],[movie_id]:[movie_id]],Financials[[#All],[budget]],"Not Available",0)</f>
        <v>1.8</v>
      </c>
      <c r="I39" cm="1">
        <f t="array" ref="I39">_xlfn.XLOOKUP(Movies[[#This Row],[movie_id]:[movie_id]],Financials[[#All],[movie_id]:[movie_id]],Financials[[#All],[revenue]],"Not Available",0)</f>
        <v>3.1</v>
      </c>
      <c r="J39" t="str" cm="1">
        <f t="array" ref="J39">_xlfn.XLOOKUP(Movies[[#This Row],[movie_id]:[movie_id]],Financials[[#All],[movie_id]:[movie_id]],Financials[[#All],[unit]],"Not Available",0)</f>
        <v>Billions</v>
      </c>
      <c r="K39" t="str" cm="1">
        <f t="array" ref="K39">_xlfn.XLOOKUP(Movies[[#This Row],[movie_id]:[movie_id]],Financials[[#All],[movie_id]:[movie_id]],Financials[[#All],[currency]],"Not Available",0)</f>
        <v>INR</v>
      </c>
    </row>
    <row r="40" spans="1:11" x14ac:dyDescent="0.3">
      <c r="A40">
        <v>140</v>
      </c>
      <c r="B40" t="s">
        <v>155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 cm="1">
        <f t="array" ref="H40">_xlfn.XLOOKUP(Movies[[#This Row],[movie_id]:[movie_id]],Financials[[#All],[movie_id]:[movie_id]],Financials[[#All],[budget]],"Not Available",0)</f>
        <v>500</v>
      </c>
      <c r="I40" cm="1">
        <f t="array" ref="I40">_xlfn.XLOOKUP(Movies[[#This Row],[movie_id]:[movie_id]],Financials[[#All],[movie_id]:[movie_id]],Financials[[#All],[revenue]],"Not Available",0)</f>
        <v>950</v>
      </c>
      <c r="J40" t="str" cm="1">
        <f t="array" ref="J40">_xlfn.XLOOKUP(Movies[[#This Row],[movie_id]:[movie_id]],Financials[[#All],[movie_id]:[movie_id]],Financials[[#All],[unit]],"Not Available",0)</f>
        <v>Millions</v>
      </c>
      <c r="K40" t="str" cm="1">
        <f t="array" ref="K40">_xlfn.XLOOKUP(Movies[[#This Row],[movie_id]:[movie_id]],Financials[[#All],[movie_id]:[movie_id]],Financials[[#All],[currency]],"Not Available",0)</f>
        <v>INR</v>
      </c>
    </row>
  </sheetData>
  <conditionalFormatting sqref="A1:B1">
    <cfRule type="duplicateValues" dxfId="5" priority="5"/>
    <cfRule type="duplicateValues" dxfId="4" priority="6"/>
  </conditionalFormatting>
  <conditionalFormatting sqref="A2:B40">
    <cfRule type="duplicateValues" dxfId="3" priority="9"/>
    <cfRule type="duplicateValues" dxfId="2" priority="10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topLeftCell="A16" zoomScale="160" zoomScaleNormal="160" workbookViewId="0">
      <selection activeCell="B26" sqref="B26"/>
    </sheetView>
  </sheetViews>
  <sheetFormatPr defaultRowHeight="14.4" x14ac:dyDescent="0.3"/>
  <cols>
    <col min="1" max="1" width="9.44140625" customWidth="1"/>
    <col min="5" max="5" width="30.33203125" customWidth="1"/>
  </cols>
  <sheetData>
    <row r="1" spans="1:5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3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3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3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3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3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3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3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3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3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3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3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3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3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3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3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3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3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3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3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3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3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3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3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3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3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3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3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3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3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3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3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3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3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3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3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3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3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3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3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topLeftCell="A37" zoomScale="160" zoomScaleNormal="160" workbookViewId="0">
      <selection activeCell="A2" sqref="A2:B3"/>
    </sheetView>
  </sheetViews>
  <sheetFormatPr defaultRowHeight="14.4" x14ac:dyDescent="0.3"/>
  <cols>
    <col min="2" max="2" width="26.44140625" customWidth="1"/>
    <col min="3" max="3" width="10.88671875" customWidth="1"/>
    <col min="5" max="5" width="22.109375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>
        <v>50</v>
      </c>
      <c r="B2" t="s">
        <v>38</v>
      </c>
      <c r="C2">
        <v>1986</v>
      </c>
    </row>
    <row r="3" spans="1:3" x14ac:dyDescent="0.3">
      <c r="A3">
        <v>51</v>
      </c>
      <c r="B3" t="s">
        <v>39</v>
      </c>
      <c r="C3">
        <v>1959</v>
      </c>
    </row>
    <row r="4" spans="1:3" x14ac:dyDescent="0.3">
      <c r="A4">
        <v>52</v>
      </c>
      <c r="B4" t="s">
        <v>40</v>
      </c>
      <c r="C4">
        <v>1976</v>
      </c>
    </row>
    <row r="5" spans="1:3" x14ac:dyDescent="0.3">
      <c r="A5">
        <v>53</v>
      </c>
      <c r="B5" t="s">
        <v>41</v>
      </c>
      <c r="C5">
        <v>1989</v>
      </c>
    </row>
    <row r="6" spans="1:3" x14ac:dyDescent="0.3">
      <c r="A6">
        <v>54</v>
      </c>
      <c r="B6" t="s">
        <v>42</v>
      </c>
      <c r="C6">
        <v>1983</v>
      </c>
    </row>
    <row r="7" spans="1:3" x14ac:dyDescent="0.3">
      <c r="A7">
        <v>55</v>
      </c>
      <c r="B7" t="s">
        <v>43</v>
      </c>
      <c r="C7">
        <v>1981</v>
      </c>
    </row>
    <row r="8" spans="1:3" x14ac:dyDescent="0.3">
      <c r="A8">
        <v>56</v>
      </c>
      <c r="B8" t="s">
        <v>44</v>
      </c>
      <c r="C8">
        <v>1981</v>
      </c>
    </row>
    <row r="9" spans="1:3" x14ac:dyDescent="0.3">
      <c r="A9">
        <v>57</v>
      </c>
      <c r="B9" t="s">
        <v>45</v>
      </c>
      <c r="C9">
        <v>1942</v>
      </c>
    </row>
    <row r="10" spans="1:3" x14ac:dyDescent="0.3">
      <c r="A10">
        <v>58</v>
      </c>
      <c r="B10" t="s">
        <v>46</v>
      </c>
      <c r="C10">
        <v>1948</v>
      </c>
    </row>
    <row r="11" spans="1:3" x14ac:dyDescent="0.3">
      <c r="A11">
        <v>59</v>
      </c>
      <c r="B11" t="s">
        <v>47</v>
      </c>
      <c r="C11">
        <v>1965</v>
      </c>
    </row>
    <row r="12" spans="1:3" x14ac:dyDescent="0.3">
      <c r="A12">
        <v>60</v>
      </c>
      <c r="B12" t="s">
        <v>48</v>
      </c>
      <c r="C12">
        <v>1974</v>
      </c>
    </row>
    <row r="13" spans="1:3" x14ac:dyDescent="0.3">
      <c r="A13">
        <v>61</v>
      </c>
      <c r="B13" t="s">
        <v>49</v>
      </c>
      <c r="C13">
        <v>1965</v>
      </c>
    </row>
    <row r="14" spans="1:3" x14ac:dyDescent="0.3">
      <c r="A14">
        <v>62</v>
      </c>
      <c r="B14" t="s">
        <v>50</v>
      </c>
      <c r="C14">
        <v>1970</v>
      </c>
    </row>
    <row r="15" spans="1:3" x14ac:dyDescent="0.3">
      <c r="A15">
        <v>63</v>
      </c>
      <c r="B15" t="s">
        <v>51</v>
      </c>
      <c r="C15">
        <v>1979</v>
      </c>
    </row>
    <row r="16" spans="1:3" x14ac:dyDescent="0.3">
      <c r="A16">
        <v>64</v>
      </c>
      <c r="B16" t="s">
        <v>52</v>
      </c>
      <c r="C16">
        <v>1974</v>
      </c>
    </row>
    <row r="17" spans="1:3" x14ac:dyDescent="0.3">
      <c r="A17">
        <v>65</v>
      </c>
      <c r="B17" t="s">
        <v>53</v>
      </c>
      <c r="C17">
        <v>1985</v>
      </c>
    </row>
    <row r="18" spans="1:3" x14ac:dyDescent="0.3">
      <c r="A18">
        <v>66</v>
      </c>
      <c r="B18" t="s">
        <v>54</v>
      </c>
      <c r="C18">
        <v>1986</v>
      </c>
    </row>
    <row r="19" spans="1:3" x14ac:dyDescent="0.3">
      <c r="A19">
        <v>67</v>
      </c>
      <c r="B19" t="s">
        <v>55</v>
      </c>
      <c r="C19">
        <v>1958</v>
      </c>
    </row>
    <row r="20" spans="1:3" x14ac:dyDescent="0.3">
      <c r="A20">
        <v>68</v>
      </c>
      <c r="B20" t="s">
        <v>56</v>
      </c>
      <c r="C20">
        <v>1937</v>
      </c>
    </row>
    <row r="21" spans="1:3" x14ac:dyDescent="0.3">
      <c r="A21">
        <v>69</v>
      </c>
      <c r="B21" t="s">
        <v>57</v>
      </c>
      <c r="C21">
        <v>1974</v>
      </c>
    </row>
    <row r="22" spans="1:3" x14ac:dyDescent="0.3">
      <c r="A22">
        <v>70</v>
      </c>
      <c r="B22" t="s">
        <v>58</v>
      </c>
      <c r="C22">
        <v>1959</v>
      </c>
    </row>
    <row r="23" spans="1:3" x14ac:dyDescent="0.3">
      <c r="A23">
        <v>71</v>
      </c>
      <c r="B23" t="s">
        <v>59</v>
      </c>
      <c r="C23">
        <v>1969</v>
      </c>
    </row>
    <row r="24" spans="1:3" x14ac:dyDescent="0.3">
      <c r="A24">
        <v>72</v>
      </c>
      <c r="B24" t="s">
        <v>60</v>
      </c>
      <c r="C24">
        <v>1982</v>
      </c>
    </row>
    <row r="25" spans="1:3" x14ac:dyDescent="0.3">
      <c r="A25">
        <v>73</v>
      </c>
      <c r="B25" t="s">
        <v>61</v>
      </c>
      <c r="C25">
        <v>1984</v>
      </c>
    </row>
    <row r="26" spans="1:3" x14ac:dyDescent="0.3">
      <c r="A26">
        <v>74</v>
      </c>
      <c r="B26" t="s">
        <v>62</v>
      </c>
      <c r="C26">
        <v>1986</v>
      </c>
    </row>
    <row r="27" spans="1:3" x14ac:dyDescent="0.3">
      <c r="A27">
        <v>75</v>
      </c>
      <c r="B27" t="s">
        <v>63</v>
      </c>
      <c r="C27">
        <v>1968</v>
      </c>
    </row>
    <row r="28" spans="1:3" x14ac:dyDescent="0.3">
      <c r="A28">
        <v>76</v>
      </c>
      <c r="B28" t="s">
        <v>64</v>
      </c>
      <c r="C28">
        <v>1972</v>
      </c>
    </row>
    <row r="29" spans="1:3" x14ac:dyDescent="0.3">
      <c r="A29">
        <v>77</v>
      </c>
      <c r="B29" t="s">
        <v>65</v>
      </c>
      <c r="C29">
        <v>1964</v>
      </c>
    </row>
    <row r="30" spans="1:3" x14ac:dyDescent="0.3">
      <c r="A30">
        <v>78</v>
      </c>
      <c r="B30" t="s">
        <v>66</v>
      </c>
      <c r="C30">
        <v>1974</v>
      </c>
    </row>
    <row r="31" spans="1:3" x14ac:dyDescent="0.3">
      <c r="A31">
        <v>79</v>
      </c>
      <c r="B31" t="s">
        <v>67</v>
      </c>
      <c r="C31">
        <v>1975</v>
      </c>
    </row>
    <row r="32" spans="1:3" x14ac:dyDescent="0.3">
      <c r="A32">
        <v>80</v>
      </c>
      <c r="B32" t="s">
        <v>68</v>
      </c>
      <c r="C32">
        <v>1908</v>
      </c>
    </row>
    <row r="33" spans="1:3" x14ac:dyDescent="0.3">
      <c r="A33">
        <v>81</v>
      </c>
      <c r="B33" t="s">
        <v>69</v>
      </c>
      <c r="C33">
        <v>1921</v>
      </c>
    </row>
    <row r="34" spans="1:3" x14ac:dyDescent="0.3">
      <c r="A34">
        <v>82</v>
      </c>
      <c r="B34" t="s">
        <v>70</v>
      </c>
      <c r="C34">
        <v>1976</v>
      </c>
    </row>
    <row r="35" spans="1:3" x14ac:dyDescent="0.3">
      <c r="A35">
        <v>83</v>
      </c>
      <c r="B35" t="s">
        <v>71</v>
      </c>
      <c r="C35">
        <v>1978</v>
      </c>
    </row>
    <row r="36" spans="1:3" x14ac:dyDescent="0.3">
      <c r="A36">
        <v>84</v>
      </c>
      <c r="B36" t="s">
        <v>72</v>
      </c>
      <c r="C36">
        <v>1924</v>
      </c>
    </row>
    <row r="37" spans="1:3" x14ac:dyDescent="0.3">
      <c r="A37">
        <v>85</v>
      </c>
      <c r="B37" t="s">
        <v>73</v>
      </c>
      <c r="C37">
        <v>1940</v>
      </c>
    </row>
    <row r="38" spans="1:3" x14ac:dyDescent="0.3">
      <c r="A38">
        <v>86</v>
      </c>
      <c r="B38" t="s">
        <v>74</v>
      </c>
      <c r="C38">
        <v>1974</v>
      </c>
    </row>
    <row r="39" spans="1:3" x14ac:dyDescent="0.3">
      <c r="A39">
        <v>87</v>
      </c>
      <c r="B39" t="s">
        <v>75</v>
      </c>
      <c r="C39">
        <v>1979</v>
      </c>
    </row>
    <row r="40" spans="1:3" x14ac:dyDescent="0.3">
      <c r="A40">
        <v>88</v>
      </c>
      <c r="B40" t="s">
        <v>76</v>
      </c>
      <c r="C40">
        <v>1952</v>
      </c>
    </row>
    <row r="41" spans="1:3" x14ac:dyDescent="0.3">
      <c r="A41">
        <v>89</v>
      </c>
      <c r="B41" t="s">
        <v>77</v>
      </c>
      <c r="C41">
        <v>1943</v>
      </c>
    </row>
    <row r="42" spans="1:3" x14ac:dyDescent="0.3">
      <c r="A42">
        <v>90</v>
      </c>
      <c r="B42" t="s">
        <v>78</v>
      </c>
      <c r="C42">
        <v>1947</v>
      </c>
    </row>
    <row r="43" spans="1:3" x14ac:dyDescent="0.3">
      <c r="A43">
        <v>91</v>
      </c>
      <c r="B43" t="s">
        <v>79</v>
      </c>
      <c r="C43">
        <v>1967</v>
      </c>
    </row>
    <row r="44" spans="1:3" x14ac:dyDescent="0.3">
      <c r="A44">
        <v>92</v>
      </c>
      <c r="B44" t="s">
        <v>80</v>
      </c>
      <c r="C44">
        <v>1967</v>
      </c>
    </row>
    <row r="45" spans="1:3" x14ac:dyDescent="0.3">
      <c r="A45">
        <v>93</v>
      </c>
      <c r="B45" t="s">
        <v>81</v>
      </c>
      <c r="C45">
        <v>1975</v>
      </c>
    </row>
    <row r="46" spans="1:3" x14ac:dyDescent="0.3">
      <c r="A46">
        <v>94</v>
      </c>
      <c r="B46" t="s">
        <v>82</v>
      </c>
      <c r="C46">
        <v>1965</v>
      </c>
    </row>
    <row r="47" spans="1:3" x14ac:dyDescent="0.3">
      <c r="A47">
        <v>95</v>
      </c>
      <c r="B47" t="s">
        <v>83</v>
      </c>
      <c r="C47">
        <v>1981</v>
      </c>
    </row>
    <row r="48" spans="1:3" x14ac:dyDescent="0.3">
      <c r="A48">
        <v>150</v>
      </c>
      <c r="B48" t="s">
        <v>84</v>
      </c>
      <c r="C48">
        <v>1905</v>
      </c>
    </row>
    <row r="49" spans="1:3" x14ac:dyDescent="0.3">
      <c r="A49">
        <v>151</v>
      </c>
      <c r="B49" t="s">
        <v>85</v>
      </c>
      <c r="C49">
        <v>1919</v>
      </c>
    </row>
    <row r="50" spans="1:3" x14ac:dyDescent="0.3">
      <c r="A50">
        <v>152</v>
      </c>
      <c r="B50" t="s">
        <v>86</v>
      </c>
      <c r="C50">
        <v>1997</v>
      </c>
    </row>
    <row r="51" spans="1:3" x14ac:dyDescent="0.3">
      <c r="A51">
        <v>153</v>
      </c>
      <c r="B51" t="s">
        <v>87</v>
      </c>
      <c r="C51">
        <v>1929</v>
      </c>
    </row>
    <row r="52" spans="1:3" x14ac:dyDescent="0.3">
      <c r="A52">
        <v>154</v>
      </c>
      <c r="B52" t="s">
        <v>88</v>
      </c>
      <c r="C52">
        <v>1988</v>
      </c>
    </row>
    <row r="53" spans="1:3" x14ac:dyDescent="0.3">
      <c r="A53">
        <v>155</v>
      </c>
      <c r="B53" t="s">
        <v>89</v>
      </c>
      <c r="C53">
        <v>1982</v>
      </c>
    </row>
    <row r="54" spans="1:3" x14ac:dyDescent="0.3">
      <c r="A54">
        <v>156</v>
      </c>
      <c r="B54" t="s">
        <v>90</v>
      </c>
      <c r="C54">
        <v>1982</v>
      </c>
    </row>
    <row r="55" spans="1:3" x14ac:dyDescent="0.3">
      <c r="A55">
        <v>157</v>
      </c>
      <c r="B55" t="s">
        <v>91</v>
      </c>
      <c r="C55">
        <v>1982</v>
      </c>
    </row>
    <row r="56" spans="1:3" x14ac:dyDescent="0.3">
      <c r="A56">
        <v>158</v>
      </c>
      <c r="B56" t="s">
        <v>92</v>
      </c>
      <c r="C56">
        <v>1983</v>
      </c>
    </row>
    <row r="57" spans="1:3" x14ac:dyDescent="0.3">
      <c r="A57">
        <v>159</v>
      </c>
      <c r="B57" t="s">
        <v>93</v>
      </c>
      <c r="C57">
        <v>1985</v>
      </c>
    </row>
    <row r="58" spans="1:3" x14ac:dyDescent="0.3">
      <c r="A58">
        <v>160</v>
      </c>
      <c r="B58" t="s">
        <v>94</v>
      </c>
      <c r="C58">
        <v>1979</v>
      </c>
    </row>
    <row r="59" spans="1:3" x14ac:dyDescent="0.3">
      <c r="A59">
        <v>161</v>
      </c>
      <c r="B59" t="s">
        <v>95</v>
      </c>
      <c r="C59">
        <v>1984</v>
      </c>
    </row>
    <row r="60" spans="1:3" x14ac:dyDescent="0.3">
      <c r="A60">
        <v>162</v>
      </c>
      <c r="B60" t="s">
        <v>96</v>
      </c>
      <c r="C60">
        <v>1950</v>
      </c>
    </row>
    <row r="61" spans="1:3" x14ac:dyDescent="0.3">
      <c r="A61">
        <v>163</v>
      </c>
      <c r="B61" t="s">
        <v>97</v>
      </c>
      <c r="C61">
        <v>1955</v>
      </c>
    </row>
    <row r="62" spans="1:3" x14ac:dyDescent="0.3">
      <c r="A62">
        <v>164</v>
      </c>
      <c r="B62" t="s">
        <v>98</v>
      </c>
      <c r="C62">
        <v>1965</v>
      </c>
    </row>
    <row r="63" spans="1:3" x14ac:dyDescent="0.3">
      <c r="A63">
        <v>165</v>
      </c>
      <c r="B63" t="s">
        <v>99</v>
      </c>
      <c r="C63">
        <v>1967</v>
      </c>
    </row>
    <row r="64" spans="1:3" x14ac:dyDescent="0.3">
      <c r="A64">
        <v>166</v>
      </c>
      <c r="B64" t="s">
        <v>100</v>
      </c>
      <c r="C64">
        <v>1946</v>
      </c>
    </row>
    <row r="65" spans="1:3" x14ac:dyDescent="0.3">
      <c r="A65">
        <v>167</v>
      </c>
      <c r="B65" t="s">
        <v>101</v>
      </c>
      <c r="C65">
        <v>1982</v>
      </c>
    </row>
    <row r="66" spans="1:3" x14ac:dyDescent="0.3">
      <c r="A66">
        <v>168</v>
      </c>
      <c r="B66" t="s">
        <v>102</v>
      </c>
      <c r="C66">
        <v>1956</v>
      </c>
    </row>
    <row r="67" spans="1:3" x14ac:dyDescent="0.3">
      <c r="A67">
        <v>169</v>
      </c>
      <c r="B67" t="s">
        <v>103</v>
      </c>
      <c r="C67">
        <v>1985</v>
      </c>
    </row>
    <row r="68" spans="1:3" x14ac:dyDescent="0.3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B2" sqref="B2:B3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35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B4" sqref="B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36</v>
      </c>
    </row>
    <row r="2" spans="1:2" x14ac:dyDescent="0.3">
      <c r="A2">
        <v>1</v>
      </c>
      <c r="B2" t="s">
        <v>105</v>
      </c>
    </row>
    <row r="3" spans="1:2" x14ac:dyDescent="0.3">
      <c r="A3">
        <v>2</v>
      </c>
      <c r="B3" t="s">
        <v>106</v>
      </c>
    </row>
    <row r="4" spans="1:2" x14ac:dyDescent="0.3">
      <c r="A4">
        <v>3</v>
      </c>
      <c r="B4" t="s">
        <v>107</v>
      </c>
    </row>
    <row r="5" spans="1:2" x14ac:dyDescent="0.3">
      <c r="A5">
        <v>4</v>
      </c>
      <c r="B5" t="s">
        <v>108</v>
      </c>
    </row>
    <row r="6" spans="1:2" x14ac:dyDescent="0.3">
      <c r="A6">
        <v>5</v>
      </c>
      <c r="B6" t="s">
        <v>109</v>
      </c>
    </row>
    <row r="7" spans="1:2" x14ac:dyDescent="0.3">
      <c r="A7">
        <v>6</v>
      </c>
      <c r="B7" t="s">
        <v>110</v>
      </c>
    </row>
    <row r="8" spans="1:2" x14ac:dyDescent="0.3">
      <c r="A8">
        <v>7</v>
      </c>
      <c r="B8" t="s">
        <v>111</v>
      </c>
    </row>
    <row r="9" spans="1:2" x14ac:dyDescent="0.3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C97C-0F65-412A-B043-DA27CD5814DD}">
  <dimension ref="A1:J15"/>
  <sheetViews>
    <sheetView tabSelected="1" zoomScale="162" zoomScaleNormal="162" workbookViewId="0">
      <selection activeCell="G11" sqref="G11"/>
    </sheetView>
  </sheetViews>
  <sheetFormatPr defaultRowHeight="14.4" x14ac:dyDescent="0.3"/>
  <cols>
    <col min="3" max="3" width="11.33203125" bestFit="1" customWidth="1"/>
    <col min="4" max="4" width="10.33203125" bestFit="1" customWidth="1"/>
    <col min="10" max="10" width="10.33203125" bestFit="1" customWidth="1"/>
  </cols>
  <sheetData>
    <row r="1" spans="1:10" x14ac:dyDescent="0.3">
      <c r="A1" s="4" t="s">
        <v>157</v>
      </c>
      <c r="B1" s="4" t="s">
        <v>158</v>
      </c>
      <c r="C1" s="4" t="s">
        <v>159</v>
      </c>
      <c r="D1" s="4" t="s">
        <v>160</v>
      </c>
      <c r="I1" s="4" t="s">
        <v>158</v>
      </c>
      <c r="J1" s="4" t="s">
        <v>176</v>
      </c>
    </row>
    <row r="2" spans="1:10" x14ac:dyDescent="0.3">
      <c r="A2" s="3">
        <v>45658</v>
      </c>
      <c r="B2" t="s">
        <v>161</v>
      </c>
      <c r="C2" t="s">
        <v>177</v>
      </c>
      <c r="D2" s="6">
        <v>50</v>
      </c>
      <c r="I2" t="str" cm="1">
        <f t="array" ref="I2:I6">_xlfn.UNIQUE(B2:B13)</f>
        <v>Food</v>
      </c>
      <c r="J2" s="6">
        <f>SUMIF(B2:B13,I2,D2:D13)</f>
        <v>135</v>
      </c>
    </row>
    <row r="3" spans="1:10" x14ac:dyDescent="0.3">
      <c r="A3" s="3">
        <v>45658</v>
      </c>
      <c r="B3" t="s">
        <v>161</v>
      </c>
      <c r="C3" t="s">
        <v>166</v>
      </c>
      <c r="D3" s="6">
        <v>50</v>
      </c>
      <c r="I3" t="str">
        <v>Rent</v>
      </c>
      <c r="J3" s="6">
        <f>SUMIF(B3:B13,I3,D3:D13)</f>
        <v>1400</v>
      </c>
    </row>
    <row r="4" spans="1:10" x14ac:dyDescent="0.3">
      <c r="A4" s="3">
        <v>45658</v>
      </c>
      <c r="B4" t="s">
        <v>162</v>
      </c>
      <c r="C4" t="s">
        <v>167</v>
      </c>
      <c r="D4" s="6">
        <v>1400</v>
      </c>
      <c r="I4" t="str">
        <v>Transport</v>
      </c>
      <c r="J4" s="6">
        <f>SUMIF(B4:B13,I4,D4:D13)</f>
        <v>80</v>
      </c>
    </row>
    <row r="5" spans="1:10" x14ac:dyDescent="0.3">
      <c r="A5" s="3">
        <v>45658</v>
      </c>
      <c r="B5" t="s">
        <v>163</v>
      </c>
      <c r="C5" t="s">
        <v>168</v>
      </c>
      <c r="D5" s="6">
        <v>30</v>
      </c>
      <c r="I5" t="str">
        <v>Utilities</v>
      </c>
      <c r="J5" s="6">
        <f>SUMIF(B5:B13,I5,D5:D13)</f>
        <v>110</v>
      </c>
    </row>
    <row r="6" spans="1:10" x14ac:dyDescent="0.3">
      <c r="A6" s="3">
        <v>45659</v>
      </c>
      <c r="B6" t="s">
        <v>164</v>
      </c>
      <c r="C6" t="s">
        <v>169</v>
      </c>
      <c r="D6" s="6">
        <v>50</v>
      </c>
      <c r="I6" t="str">
        <v>Charity</v>
      </c>
      <c r="J6" s="6">
        <f>SUMIF(B6:B13,I6,D6:D13)</f>
        <v>100</v>
      </c>
    </row>
    <row r="7" spans="1:10" x14ac:dyDescent="0.3">
      <c r="A7" s="3">
        <v>45659</v>
      </c>
      <c r="B7" t="s">
        <v>164</v>
      </c>
      <c r="C7" t="s">
        <v>170</v>
      </c>
      <c r="D7" s="6">
        <v>60</v>
      </c>
    </row>
    <row r="8" spans="1:10" x14ac:dyDescent="0.3">
      <c r="A8" s="3">
        <v>45659</v>
      </c>
      <c r="B8" t="s">
        <v>161</v>
      </c>
      <c r="C8" t="s">
        <v>171</v>
      </c>
      <c r="D8" s="6">
        <v>10</v>
      </c>
    </row>
    <row r="9" spans="1:10" x14ac:dyDescent="0.3">
      <c r="A9" s="3">
        <v>45660</v>
      </c>
      <c r="B9" t="s">
        <v>161</v>
      </c>
      <c r="C9" t="s">
        <v>172</v>
      </c>
      <c r="D9" s="6">
        <v>10</v>
      </c>
    </row>
    <row r="10" spans="1:10" x14ac:dyDescent="0.3">
      <c r="A10" s="3">
        <v>45660</v>
      </c>
      <c r="B10" t="s">
        <v>161</v>
      </c>
      <c r="C10" t="s">
        <v>173</v>
      </c>
      <c r="D10" s="6">
        <v>15</v>
      </c>
    </row>
    <row r="11" spans="1:10" x14ac:dyDescent="0.3">
      <c r="A11" s="3">
        <v>45660</v>
      </c>
      <c r="B11" t="s">
        <v>163</v>
      </c>
      <c r="C11" t="s">
        <v>168</v>
      </c>
      <c r="D11" s="6">
        <v>20</v>
      </c>
    </row>
    <row r="12" spans="1:10" x14ac:dyDescent="0.3">
      <c r="A12" s="3">
        <v>45661</v>
      </c>
      <c r="B12" t="s">
        <v>163</v>
      </c>
      <c r="C12" t="s">
        <v>174</v>
      </c>
      <c r="D12" s="6">
        <v>30</v>
      </c>
    </row>
    <row r="13" spans="1:10" x14ac:dyDescent="0.3">
      <c r="A13" s="3">
        <v>45661</v>
      </c>
      <c r="B13" t="s">
        <v>165</v>
      </c>
      <c r="C13" t="s">
        <v>175</v>
      </c>
      <c r="D13" s="6">
        <v>100</v>
      </c>
    </row>
    <row r="14" spans="1:10" x14ac:dyDescent="0.3">
      <c r="A14" s="3"/>
      <c r="D14" s="6"/>
    </row>
    <row r="15" spans="1:10" x14ac:dyDescent="0.3">
      <c r="A15" s="3"/>
      <c r="C15" s="5" t="s">
        <v>176</v>
      </c>
      <c r="D15" s="7">
        <f>SUM(D2:D13)</f>
        <v>1825</v>
      </c>
    </row>
  </sheetData>
  <autoFilter ref="A1:D13" xr:uid="{C967C97C-0F65-412A-B043-DA27CD5814DD}"/>
  <conditionalFormatting sqref="D2:D13">
    <cfRule type="cellIs" dxfId="1" priority="1" operator="greaterThan">
      <formula>90</formula>
    </cfRule>
    <cfRule type="cellIs" dxfId="0" priority="2" operator="greaterThan">
      <formula>100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financials</vt:lpstr>
      <vt:lpstr>actors</vt:lpstr>
      <vt:lpstr>movie_actor</vt:lpstr>
      <vt:lpstr>languages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Nurudeen Adedeji</cp:lastModifiedBy>
  <dcterms:created xsi:type="dcterms:W3CDTF">2015-06-05T18:17:20Z</dcterms:created>
  <dcterms:modified xsi:type="dcterms:W3CDTF">2025-01-20T16:56:52Z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